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-Max Recommendations" sheetId="1" state="visible" r:id="rId1"/>
  </sheets>
  <definedNames>
    <definedName name="_xlnm._FilterDatabase" localSheetId="0" hidden="1">'Min-Max Recommendations'!$A$10:$J$36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b val="1"/>
      <color rgb="000000FF"/>
    </font>
    <font>
      <name val="Arial"/>
      <i val="1"/>
      <color rgb="00808080"/>
      <sz val="9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0" customWidth="1" min="4" max="4"/>
    <col width="12" customWidth="1" min="5" max="5"/>
    <col width="12" customWidth="1" min="6" max="6"/>
    <col width="11" customWidth="1" min="7" max="7"/>
    <col width="16" customWidth="1" min="8" max="8"/>
    <col width="16" customWidth="1" min="9" max="9"/>
    <col width="42" customWidth="1" min="10" max="10"/>
  </cols>
  <sheetData>
    <row r="1">
      <c r="A1" s="1" t="inlineStr">
        <is>
          <t>Min/Max Recommendation Report - SS QT</t>
        </is>
      </c>
    </row>
    <row r="2">
      <c r="A2" s="2" t="inlineStr">
        <is>
          <t>Source file: SS QT.xlsx</t>
        </is>
      </c>
    </row>
    <row r="3">
      <c r="A3" s="2" t="inlineStr">
        <is>
          <t>Generated: 2026-07-22 12:28</t>
        </is>
      </c>
    </row>
    <row r="5">
      <c r="A5" s="3" t="inlineStr">
        <is>
          <t>Report window (days):</t>
        </is>
      </c>
      <c r="B5" s="4" t="n">
        <v>30</v>
      </c>
      <c r="D5" s="5" t="inlineStr">
        <is>
          <t>Edit the blue cells above and the recommendations below recalculate.</t>
        </is>
      </c>
    </row>
    <row r="6">
      <c r="A6" s="3" t="inlineStr">
        <is>
          <t>Vendor lead time (days):</t>
        </is>
      </c>
      <c r="B6" s="4" t="n">
        <v>7</v>
      </c>
    </row>
    <row r="7">
      <c r="A7" s="3" t="inlineStr">
        <is>
          <t>Safety stock buffer (days):</t>
        </is>
      </c>
      <c r="B7" s="4" t="n">
        <v>7</v>
      </c>
    </row>
    <row r="8">
      <c r="A8" s="3" t="inlineStr">
        <is>
          <t>Order cycle (days):</t>
        </is>
      </c>
      <c r="B8" s="4" t="n">
        <v>14</v>
      </c>
    </row>
    <row r="10">
      <c r="A10" s="6" t="inlineStr">
        <is>
          <t>Item Name</t>
        </is>
      </c>
      <c r="B10" s="6" t="inlineStr">
        <is>
          <t>SKU</t>
        </is>
      </c>
      <c r="C10" s="6" t="inlineStr">
        <is>
          <t>GTIN</t>
        </is>
      </c>
      <c r="D10" s="6" t="inlineStr">
        <is>
          <t>On Hand</t>
        </is>
      </c>
      <c r="E10" s="6" t="inlineStr">
        <is>
          <t>Sold (period)</t>
        </is>
      </c>
      <c r="F10" s="6" t="inlineStr">
        <is>
          <t>Sell-through</t>
        </is>
      </c>
      <c r="G10" s="6" t="inlineStr">
        <is>
          <t>Daily Rate</t>
        </is>
      </c>
      <c r="H10" s="6" t="inlineStr">
        <is>
          <t>Recommended Min</t>
        </is>
      </c>
      <c r="I10" s="6" t="inlineStr">
        <is>
          <t>Recommended Max</t>
        </is>
      </c>
      <c r="J10" s="6" t="inlineStr">
        <is>
          <t>Notes</t>
        </is>
      </c>
    </row>
    <row r="11">
      <c r="A11" s="7" t="inlineStr">
        <is>
          <t>QT 12" Buffalo Horn Rope Toy DC</t>
        </is>
      </c>
      <c r="B11" s="7" t="inlineStr">
        <is>
          <t>26454</t>
        </is>
      </c>
      <c r="C11" s="7" t="inlineStr">
        <is>
          <t>671963015334</t>
        </is>
      </c>
      <c r="D11" s="7" t="n">
        <v>1</v>
      </c>
      <c r="E11" s="7" t="n">
        <v>0</v>
      </c>
      <c r="F11" s="8" t="n">
        <v>0</v>
      </c>
      <c r="G11" s="7">
        <f>ROUND(E11/$B$5,2)</f>
        <v/>
      </c>
      <c r="H11" s="7">
        <f>IF(E11=0,0,ROUNDUP(G11*($B$6+$B$7),0))</f>
        <v/>
      </c>
      <c r="I11" s="7">
        <f>IF(E11=0,0,ROUNDUP(H11+G11*$B$8,0))</f>
        <v/>
      </c>
      <c r="J11" s="9">
        <f>TRIM(IF(AND(E11=0,D11&gt;0),"Dead stock - no sales in period. ","")&amp;IF(AND(D11&lt;=0,E11&gt;0),"STOCKOUT - reorder now. ","")&amp;IF(AND(I11&gt;0,D11&gt;I11),"Overstocked vs Max. ","")&amp;IF(AND(E11&gt;0,D11&lt;H11),"Below Min - reorder. ",""))</f>
        <v/>
      </c>
    </row>
    <row r="12">
      <c r="A12" s="7" t="inlineStr">
        <is>
          <t>QT 24" Buffalo Horn Rope Toy</t>
        </is>
      </c>
      <c r="B12" s="7" t="inlineStr">
        <is>
          <t>26455</t>
        </is>
      </c>
      <c r="C12" s="7" t="inlineStr">
        <is>
          <t>671963015341</t>
        </is>
      </c>
      <c r="D12" s="7" t="n">
        <v>1</v>
      </c>
      <c r="E12" s="7" t="n">
        <v>1</v>
      </c>
      <c r="F12" s="8" t="n">
        <v>0.5</v>
      </c>
      <c r="G12" s="7">
        <f>ROUND(E12/$B$5,2)</f>
        <v/>
      </c>
      <c r="H12" s="7">
        <f>IF(E12=0,0,ROUNDUP(G12*($B$6+$B$7),0))</f>
        <v/>
      </c>
      <c r="I12" s="7">
        <f>IF(E12=0,0,ROUNDUP(H12+G12*$B$8,0))</f>
        <v/>
      </c>
      <c r="J12" s="9">
        <f>TRIM(IF(AND(E12=0,D12&gt;0),"Dead stock - no sales in period. ","")&amp;IF(AND(D12&lt;=0,E12&gt;0),"STOCKOUT - reorder now. ","")&amp;IF(AND(I12&gt;0,D12&gt;I12),"Overstocked vs Max. ","")&amp;IF(AND(E12&gt;0,D12&lt;H12),"Below Min - reorder. ",""))</f>
        <v/>
      </c>
    </row>
    <row r="13">
      <c r="A13" s="7" t="inlineStr">
        <is>
          <t>QT 34" Slip Knot Buffalo Horn Rope Toy</t>
        </is>
      </c>
      <c r="B13" s="7" t="inlineStr">
        <is>
          <t>26456</t>
        </is>
      </c>
      <c r="C13" s="7" t="inlineStr">
        <is>
          <t>671963015358</t>
        </is>
      </c>
      <c r="D13" s="7" t="n">
        <v>1</v>
      </c>
      <c r="E13" s="7" t="n">
        <v>0</v>
      </c>
      <c r="F13" s="8" t="n">
        <v>0</v>
      </c>
      <c r="G13" s="7">
        <f>ROUND(E13/$B$5,2)</f>
        <v/>
      </c>
      <c r="H13" s="7">
        <f>IF(E13=0,0,ROUNDUP(G13*($B$6+$B$7),0))</f>
        <v/>
      </c>
      <c r="I13" s="7">
        <f>IF(E13=0,0,ROUNDUP(H13+G13*$B$8,0))</f>
        <v/>
      </c>
      <c r="J13" s="9">
        <f>TRIM(IF(AND(E13=0,D13&gt;0),"Dead stock - no sales in period. ","")&amp;IF(AND(D13&lt;=0,E13&gt;0),"STOCKOUT - reorder now. ","")&amp;IF(AND(I13&gt;0,D13&gt;I13),"Overstocked vs Max. ","")&amp;IF(AND(E13&gt;0,D13&lt;H13),"Below Min - reorder. ",""))</f>
        <v/>
      </c>
    </row>
    <row r="14">
      <c r="A14" s="7" t="inlineStr">
        <is>
          <t>QT Brake-Fast Stainless Steel Bowl 16oz</t>
        </is>
      </c>
      <c r="B14" s="7" t="inlineStr">
        <is>
          <t>26461</t>
        </is>
      </c>
      <c r="C14" s="7" t="inlineStr">
        <is>
          <t>671963014436</t>
        </is>
      </c>
      <c r="D14" s="7" t="n">
        <v>1</v>
      </c>
      <c r="E14" s="7" t="n">
        <v>1</v>
      </c>
      <c r="F14" s="8" t="n">
        <v>0.5</v>
      </c>
      <c r="G14" s="7">
        <f>ROUND(E14/$B$5,2)</f>
        <v/>
      </c>
      <c r="H14" s="7">
        <f>IF(E14=0,0,ROUNDUP(G14*($B$6+$B$7),0))</f>
        <v/>
      </c>
      <c r="I14" s="7">
        <f>IF(E14=0,0,ROUNDUP(H14+G14*$B$8,0))</f>
        <v/>
      </c>
      <c r="J14" s="9">
        <f>TRIM(IF(AND(E14=0,D14&gt;0),"Dead stock - no sales in period. ","")&amp;IF(AND(D14&lt;=0,E14&gt;0),"STOCKOUT - reorder now. ","")&amp;IF(AND(I14&gt;0,D14&gt;I14),"Overstocked vs Max. ","")&amp;IF(AND(E14&gt;0,D14&lt;H14),"Below Min - reorder. ",""))</f>
        <v/>
      </c>
    </row>
    <row r="15">
      <c r="A15" s="7" t="inlineStr">
        <is>
          <t>QT Brake-Fast Stainless Steel Bowl 64oz</t>
        </is>
      </c>
      <c r="B15" s="7" t="inlineStr">
        <is>
          <t>26462</t>
        </is>
      </c>
      <c r="C15" s="7" t="inlineStr">
        <is>
          <t>671963014443</t>
        </is>
      </c>
      <c r="D15" s="7" t="n">
        <v>0</v>
      </c>
      <c r="E15" s="7" t="n">
        <v>0</v>
      </c>
      <c r="F15" s="8" t="n"/>
      <c r="G15" s="7">
        <f>ROUND(E15/$B$5,2)</f>
        <v/>
      </c>
      <c r="H15" s="7">
        <f>IF(E15=0,0,ROUNDUP(G15*($B$6+$B$7),0))</f>
        <v/>
      </c>
      <c r="I15" s="7">
        <f>IF(E15=0,0,ROUNDUP(H15+G15*$B$8,0))</f>
        <v/>
      </c>
      <c r="J15" s="9">
        <f>TRIM(IF(AND(E15=0,D15&gt;0),"Dead stock - no sales in period. ","")&amp;IF(AND(D15&lt;=0,E15&gt;0),"STOCKOUT - reorder now. ","")&amp;IF(AND(I15&gt;0,D15&gt;I15),"Overstocked vs Max. ","")&amp;IF(AND(E15&gt;0,D15&lt;H15),"Below Min - reorder. ",""))</f>
        <v/>
      </c>
    </row>
    <row r="16">
      <c r="A16" s="7" t="inlineStr">
        <is>
          <t>QT Brake-Fast Stainless Steel Bowl 96oz</t>
        </is>
      </c>
      <c r="B16" s="7" t="inlineStr">
        <is>
          <t>26463</t>
        </is>
      </c>
      <c r="C16" s="7" t="inlineStr">
        <is>
          <t>671963014450</t>
        </is>
      </c>
      <c r="D16" s="7" t="n">
        <v>3</v>
      </c>
      <c r="E16" s="7" t="n">
        <v>0</v>
      </c>
      <c r="F16" s="8" t="n">
        <v>0</v>
      </c>
      <c r="G16" s="7">
        <f>ROUND(E16/$B$5,2)</f>
        <v/>
      </c>
      <c r="H16" s="7">
        <f>IF(E16=0,0,ROUNDUP(G16*($B$6+$B$7),0))</f>
        <v/>
      </c>
      <c r="I16" s="7">
        <f>IF(E16=0,0,ROUNDUP(H16+G16*$B$8,0))</f>
        <v/>
      </c>
      <c r="J16" s="9">
        <f>TRIM(IF(AND(E16=0,D16&gt;0),"Dead stock - no sales in period. ","")&amp;IF(AND(D16&lt;=0,E16&gt;0),"STOCKOUT - reorder now. ","")&amp;IF(AND(I16&gt;0,D16&gt;I16),"Overstocked vs Max. ","")&amp;IF(AND(E16&gt;0,D16&lt;H16),"Below Min - reorder. ",""))</f>
        <v/>
      </c>
    </row>
    <row r="17">
      <c r="A17" s="7" t="inlineStr">
        <is>
          <t>QT Buffalo Horn Section</t>
        </is>
      </c>
      <c r="B17" s="7" t="inlineStr">
        <is>
          <t>26453</t>
        </is>
      </c>
      <c r="C17" s="7" t="inlineStr">
        <is>
          <t>671963014757</t>
        </is>
      </c>
      <c r="D17" s="7" t="n">
        <v>0</v>
      </c>
      <c r="E17" s="7" t="n">
        <v>0</v>
      </c>
      <c r="F17" s="8" t="n"/>
      <c r="G17" s="7">
        <f>ROUND(E17/$B$5,2)</f>
        <v/>
      </c>
      <c r="H17" s="7">
        <f>IF(E17=0,0,ROUNDUP(G17*($B$6+$B$7),0))</f>
        <v/>
      </c>
      <c r="I17" s="7">
        <f>IF(E17=0,0,ROUNDUP(H17+G17*$B$8,0))</f>
        <v/>
      </c>
      <c r="J17" s="9">
        <f>TRIM(IF(AND(E17=0,D17&gt;0),"Dead stock - no sales in period. ","")&amp;IF(AND(D17&lt;=0,E17&gt;0),"STOCKOUT - reorder now. ","")&amp;IF(AND(I17&gt;0,D17&gt;I17),"Overstocked vs Max. ","")&amp;IF(AND(E17&gt;0,D17&lt;H17),"Below Min - reorder. ",""))</f>
        <v/>
      </c>
    </row>
    <row r="18">
      <c r="A18" s="7" t="inlineStr">
        <is>
          <t>QT Goat Ear</t>
        </is>
      </c>
      <c r="B18" s="7" t="inlineStr">
        <is>
          <t>26452</t>
        </is>
      </c>
      <c r="C18" s="7" t="inlineStr"/>
      <c r="D18" s="7" t="n">
        <v>39</v>
      </c>
      <c r="E18" s="7" t="n">
        <v>4</v>
      </c>
      <c r="F18" s="8" t="n">
        <v>0.09302325581395349</v>
      </c>
      <c r="G18" s="7">
        <f>ROUND(E18/$B$5,2)</f>
        <v/>
      </c>
      <c r="H18" s="7">
        <f>IF(E18=0,0,ROUNDUP(G18*($B$6+$B$7),0))</f>
        <v/>
      </c>
      <c r="I18" s="7">
        <f>IF(E18=0,0,ROUNDUP(H18+G18*$B$8,0))</f>
        <v/>
      </c>
      <c r="J18" s="9">
        <f>TRIM(IF(AND(E18=0,D18&gt;0),"Dead stock - no sales in period. ","")&amp;IF(AND(D18&lt;=0,E18&gt;0),"STOCKOUT - reorder now. ","")&amp;IF(AND(I18&gt;0,D18&gt;I18),"Overstocked vs Max. ","")&amp;IF(AND(E18&gt;0,D18&lt;H18),"Below Min - reorder. ",""))</f>
        <v/>
      </c>
    </row>
    <row r="19">
      <c r="A19" s="7" t="inlineStr">
        <is>
          <t>QT Gobi Goat Horn Large</t>
        </is>
      </c>
      <c r="B19" s="7" t="inlineStr">
        <is>
          <t>26459</t>
        </is>
      </c>
      <c r="C19" s="7" t="inlineStr">
        <is>
          <t>671963016546</t>
        </is>
      </c>
      <c r="D19" s="7" t="n">
        <v>6</v>
      </c>
      <c r="E19" s="7" t="n">
        <v>1</v>
      </c>
      <c r="F19" s="8" t="n">
        <v>0.1428571428571428</v>
      </c>
      <c r="G19" s="7">
        <f>ROUND(E19/$B$5,2)</f>
        <v/>
      </c>
      <c r="H19" s="7">
        <f>IF(E19=0,0,ROUNDUP(G19*($B$6+$B$7),0))</f>
        <v/>
      </c>
      <c r="I19" s="7">
        <f>IF(E19=0,0,ROUNDUP(H19+G19*$B$8,0))</f>
        <v/>
      </c>
      <c r="J19" s="9">
        <f>TRIM(IF(AND(E19=0,D19&gt;0),"Dead stock - no sales in period. ","")&amp;IF(AND(D19&lt;=0,E19&gt;0),"STOCKOUT - reorder now. ","")&amp;IF(AND(I19&gt;0,D19&gt;I19),"Overstocked vs Max. ","")&amp;IF(AND(E19&gt;0,D19&lt;H19),"Below Min - reorder. ",""))</f>
        <v/>
      </c>
    </row>
    <row r="20">
      <c r="A20" s="7" t="inlineStr">
        <is>
          <t>QT Gobi Goat Horn Medium</t>
        </is>
      </c>
      <c r="B20" s="7" t="inlineStr">
        <is>
          <t>26458</t>
        </is>
      </c>
      <c r="C20" s="7" t="inlineStr">
        <is>
          <t>671963016522</t>
        </is>
      </c>
      <c r="D20" s="7" t="n">
        <v>4</v>
      </c>
      <c r="E20" s="7" t="n">
        <v>4</v>
      </c>
      <c r="F20" s="8" t="n">
        <v>0.5</v>
      </c>
      <c r="G20" s="7">
        <f>ROUND(E20/$B$5,2)</f>
        <v/>
      </c>
      <c r="H20" s="7">
        <f>IF(E20=0,0,ROUNDUP(G20*($B$6+$B$7),0))</f>
        <v/>
      </c>
      <c r="I20" s="7">
        <f>IF(E20=0,0,ROUNDUP(H20+G20*$B$8,0))</f>
        <v/>
      </c>
      <c r="J20" s="9">
        <f>TRIM(IF(AND(E20=0,D20&gt;0),"Dead stock - no sales in period. ","")&amp;IF(AND(D20&lt;=0,E20&gt;0),"STOCKOUT - reorder now. ","")&amp;IF(AND(I20&gt;0,D20&gt;I20),"Overstocked vs Max. ","")&amp;IF(AND(E20&gt;0,D20&lt;H20),"Below Min - reorder. ",""))</f>
        <v/>
      </c>
    </row>
    <row r="21">
      <c r="A21" s="7" t="inlineStr">
        <is>
          <t>QT Gobi Goat Horn Small</t>
        </is>
      </c>
      <c r="B21" s="7" t="inlineStr">
        <is>
          <t>26457</t>
        </is>
      </c>
      <c r="C21" s="7" t="inlineStr">
        <is>
          <t>671963016508</t>
        </is>
      </c>
      <c r="D21" s="7" t="n">
        <v>3</v>
      </c>
      <c r="E21" s="7" t="n">
        <v>1</v>
      </c>
      <c r="F21" s="8" t="n">
        <v>0.25</v>
      </c>
      <c r="G21" s="7">
        <f>ROUND(E21/$B$5,2)</f>
        <v/>
      </c>
      <c r="H21" s="7">
        <f>IF(E21=0,0,ROUNDUP(G21*($B$6+$B$7),0))</f>
        <v/>
      </c>
      <c r="I21" s="7">
        <f>IF(E21=0,0,ROUNDUP(H21+G21*$B$8,0))</f>
        <v/>
      </c>
      <c r="J21" s="9">
        <f>TRIM(IF(AND(E21=0,D21&gt;0),"Dead stock - no sales in period. ","")&amp;IF(AND(D21&lt;=0,E21&gt;0),"STOCKOUT - reorder now. ","")&amp;IF(AND(I21&gt;0,D21&gt;I21),"Overstocked vs Max. ","")&amp;IF(AND(E21&gt;0,D21&lt;H21),"Below Min - reorder. ",""))</f>
        <v/>
      </c>
    </row>
    <row r="22">
      <c r="A22" s="7" t="inlineStr">
        <is>
          <t>QT Non-Tip Anti-Skid Bowl 16oz</t>
        </is>
      </c>
      <c r="B22" s="7" t="inlineStr">
        <is>
          <t>26510</t>
        </is>
      </c>
      <c r="C22" s="7" t="inlineStr">
        <is>
          <t>671963010025</t>
        </is>
      </c>
      <c r="D22" s="7" t="n">
        <v>4</v>
      </c>
      <c r="E22" s="7" t="n">
        <v>0</v>
      </c>
      <c r="F22" s="8" t="n">
        <v>0</v>
      </c>
      <c r="G22" s="7">
        <f>ROUND(E22/$B$5,2)</f>
        <v/>
      </c>
      <c r="H22" s="7">
        <f>IF(E22=0,0,ROUNDUP(G22*($B$6+$B$7),0))</f>
        <v/>
      </c>
      <c r="I22" s="7">
        <f>IF(E22=0,0,ROUNDUP(H22+G22*$B$8,0))</f>
        <v/>
      </c>
      <c r="J22" s="9">
        <f>TRIM(IF(AND(E22=0,D22&gt;0),"Dead stock - no sales in period. ","")&amp;IF(AND(D22&lt;=0,E22&gt;0),"STOCKOUT - reorder now. ","")&amp;IF(AND(I22&gt;0,D22&gt;I22),"Overstocked vs Max. ","")&amp;IF(AND(E22&gt;0,D22&lt;H22),"Below Min - reorder. ",""))</f>
        <v/>
      </c>
    </row>
    <row r="23">
      <c r="A23" s="7" t="inlineStr">
        <is>
          <t>QT Non-Tip Anti-Skid Bowl 24oz</t>
        </is>
      </c>
      <c r="B23" s="7" t="inlineStr">
        <is>
          <t>26511</t>
        </is>
      </c>
      <c r="C23" s="7" t="inlineStr">
        <is>
          <t>671963010032</t>
        </is>
      </c>
      <c r="D23" s="7" t="n">
        <v>2</v>
      </c>
      <c r="E23" s="7" t="n">
        <v>2</v>
      </c>
      <c r="F23" s="8" t="n">
        <v>0.5</v>
      </c>
      <c r="G23" s="7">
        <f>ROUND(E23/$B$5,2)</f>
        <v/>
      </c>
      <c r="H23" s="7">
        <f>IF(E23=0,0,ROUNDUP(G23*($B$6+$B$7),0))</f>
        <v/>
      </c>
      <c r="I23" s="7">
        <f>IF(E23=0,0,ROUNDUP(H23+G23*$B$8,0))</f>
        <v/>
      </c>
      <c r="J23" s="9">
        <f>TRIM(IF(AND(E23=0,D23&gt;0),"Dead stock - no sales in period. ","")&amp;IF(AND(D23&lt;=0,E23&gt;0),"STOCKOUT - reorder now. ","")&amp;IF(AND(I23&gt;0,D23&gt;I23),"Overstocked vs Max. ","")&amp;IF(AND(E23&gt;0,D23&lt;H23),"Below Min - reorder. ",""))</f>
        <v/>
      </c>
    </row>
    <row r="24">
      <c r="A24" s="7" t="inlineStr">
        <is>
          <t>QT Non-Tip Anti-Skid Bowl 32oz</t>
        </is>
      </c>
      <c r="B24" s="7" t="inlineStr">
        <is>
          <t>26512</t>
        </is>
      </c>
      <c r="C24" s="7" t="inlineStr">
        <is>
          <t>671963010049</t>
        </is>
      </c>
      <c r="D24" s="7" t="n">
        <v>4</v>
      </c>
      <c r="E24" s="7" t="n">
        <v>0</v>
      </c>
      <c r="F24" s="8" t="n">
        <v>0</v>
      </c>
      <c r="G24" s="7">
        <f>ROUND(E24/$B$5,2)</f>
        <v/>
      </c>
      <c r="H24" s="7">
        <f>IF(E24=0,0,ROUNDUP(G24*($B$6+$B$7),0))</f>
        <v/>
      </c>
      <c r="I24" s="7">
        <f>IF(E24=0,0,ROUNDUP(H24+G24*$B$8,0))</f>
        <v/>
      </c>
      <c r="J24" s="9">
        <f>TRIM(IF(AND(E24=0,D24&gt;0),"Dead stock - no sales in period. ","")&amp;IF(AND(D24&lt;=0,E24&gt;0),"STOCKOUT - reorder now. ","")&amp;IF(AND(I24&gt;0,D24&gt;I24),"Overstocked vs Max. ","")&amp;IF(AND(E24&gt;0,D24&lt;H24),"Below Min - reorder. ",""))</f>
        <v/>
      </c>
    </row>
    <row r="25">
      <c r="A25" s="7" t="inlineStr">
        <is>
          <t>QT Non-Tip Anti-Skid Bowl 64oz</t>
        </is>
      </c>
      <c r="B25" s="7" t="inlineStr">
        <is>
          <t>26513</t>
        </is>
      </c>
      <c r="C25" s="7" t="inlineStr">
        <is>
          <t>671963010056</t>
        </is>
      </c>
      <c r="D25" s="7" t="n">
        <v>3</v>
      </c>
      <c r="E25" s="7" t="n">
        <v>1</v>
      </c>
      <c r="F25" s="8" t="n">
        <v>0.25</v>
      </c>
      <c r="G25" s="7">
        <f>ROUND(E25/$B$5,2)</f>
        <v/>
      </c>
      <c r="H25" s="7">
        <f>IF(E25=0,0,ROUNDUP(G25*($B$6+$B$7),0))</f>
        <v/>
      </c>
      <c r="I25" s="7">
        <f>IF(E25=0,0,ROUNDUP(H25+G25*$B$8,0))</f>
        <v/>
      </c>
      <c r="J25" s="9">
        <f>TRIM(IF(AND(E25=0,D25&gt;0),"Dead stock - no sales in period. ","")&amp;IF(AND(D25&lt;=0,E25&gt;0),"STOCKOUT - reorder now. ","")&amp;IF(AND(I25&gt;0,D25&gt;I25),"Overstocked vs Max. ","")&amp;IF(AND(E25&gt;0,D25&lt;H25),"Below Min - reorder. ",""))</f>
        <v/>
      </c>
    </row>
    <row r="26">
      <c r="A26" s="7" t="inlineStr">
        <is>
          <t>QT Non-Tip Anti-Skid Bowl 8oz</t>
        </is>
      </c>
      <c r="B26" s="7" t="inlineStr">
        <is>
          <t>26509</t>
        </is>
      </c>
      <c r="C26" s="7" t="inlineStr">
        <is>
          <t>671963010001</t>
        </is>
      </c>
      <c r="D26" s="7" t="n">
        <v>4</v>
      </c>
      <c r="E26" s="7" t="n">
        <v>2</v>
      </c>
      <c r="F26" s="8" t="n">
        <v>0.3333333333333333</v>
      </c>
      <c r="G26" s="7">
        <f>ROUND(E26/$B$5,2)</f>
        <v/>
      </c>
      <c r="H26" s="7">
        <f>IF(E26=0,0,ROUNDUP(G26*($B$6+$B$7),0))</f>
        <v/>
      </c>
      <c r="I26" s="7">
        <f>IF(E26=0,0,ROUNDUP(H26+G26*$B$8,0))</f>
        <v/>
      </c>
      <c r="J26" s="9">
        <f>TRIM(IF(AND(E26=0,D26&gt;0),"Dead stock - no sales in period. ","")&amp;IF(AND(D26&lt;=0,E26&gt;0),"STOCKOUT - reorder now. ","")&amp;IF(AND(I26&gt;0,D26&gt;I26),"Overstocked vs Max. ","")&amp;IF(AND(E26&gt;0,D26&lt;H26),"Below Min - reorder. ",""))</f>
        <v/>
      </c>
    </row>
    <row r="27">
      <c r="A27" s="7" t="inlineStr">
        <is>
          <t>QT Non-Tip Anti-Skid Bowl 96oz</t>
        </is>
      </c>
      <c r="B27" s="7" t="inlineStr">
        <is>
          <t>26514</t>
        </is>
      </c>
      <c r="C27" s="7" t="inlineStr">
        <is>
          <t>671963010063</t>
        </is>
      </c>
      <c r="D27" s="7" t="n">
        <v>5</v>
      </c>
      <c r="E27" s="7" t="n">
        <v>0</v>
      </c>
      <c r="F27" s="8" t="n">
        <v>0</v>
      </c>
      <c r="G27" s="7">
        <f>ROUND(E27/$B$5,2)</f>
        <v/>
      </c>
      <c r="H27" s="7">
        <f>IF(E27=0,0,ROUNDUP(G27*($B$6+$B$7),0))</f>
        <v/>
      </c>
      <c r="I27" s="7">
        <f>IF(E27=0,0,ROUNDUP(H27+G27*$B$8,0))</f>
        <v/>
      </c>
      <c r="J27" s="9">
        <f>TRIM(IF(AND(E27=0,D27&gt;0),"Dead stock - no sales in period. ","")&amp;IF(AND(D27&lt;=0,E27&gt;0),"STOCKOUT - reorder now. ","")&amp;IF(AND(I27&gt;0,D27&gt;I27),"Overstocked vs Max. ","")&amp;IF(AND(E27&gt;0,D27&lt;H27),"Below Min - reorder. ",""))</f>
        <v/>
      </c>
    </row>
    <row r="28">
      <c r="A28" s="7" t="inlineStr">
        <is>
          <t>QT Water Buffalo Ear</t>
        </is>
      </c>
      <c r="B28" s="7" t="inlineStr">
        <is>
          <t>26451</t>
        </is>
      </c>
      <c r="C28" s="7" t="inlineStr"/>
      <c r="D28" s="7" t="n">
        <v>31</v>
      </c>
      <c r="E28" s="7" t="n">
        <v>2</v>
      </c>
      <c r="F28" s="8" t="n">
        <v>0.06060606060606061</v>
      </c>
      <c r="G28" s="7">
        <f>ROUND(E28/$B$5,2)</f>
        <v/>
      </c>
      <c r="H28" s="7">
        <f>IF(E28=0,0,ROUNDUP(G28*($B$6+$B$7),0))</f>
        <v/>
      </c>
      <c r="I28" s="7">
        <f>IF(E28=0,0,ROUNDUP(H28+G28*$B$8,0))</f>
        <v/>
      </c>
      <c r="J28" s="9">
        <f>TRIM(IF(AND(E28=0,D28&gt;0),"Dead stock - no sales in period. ","")&amp;IF(AND(D28&lt;=0,E28&gt;0),"STOCKOUT - reorder now. ","")&amp;IF(AND(I28&gt;0,D28&gt;I28),"Overstocked vs Max. ","")&amp;IF(AND(E28&gt;0,D28&lt;H28),"Below Min - reorder. ",""))</f>
        <v/>
      </c>
    </row>
    <row r="29">
      <c r="A29" s="7" t="inlineStr">
        <is>
          <t>QT Water Buffalo Ear with Hair</t>
        </is>
      </c>
      <c r="B29" s="7" t="inlineStr">
        <is>
          <t>28033</t>
        </is>
      </c>
      <c r="C29" s="7" t="inlineStr"/>
      <c r="D29" s="7" t="n">
        <v>22</v>
      </c>
      <c r="E29" s="7" t="n">
        <v>7</v>
      </c>
      <c r="F29" s="8" t="n">
        <v>0.2413793103448276</v>
      </c>
      <c r="G29" s="7">
        <f>ROUND(E29/$B$5,2)</f>
        <v/>
      </c>
      <c r="H29" s="7">
        <f>IF(E29=0,0,ROUNDUP(G29*($B$6+$B$7),0))</f>
        <v/>
      </c>
      <c r="I29" s="7">
        <f>IF(E29=0,0,ROUNDUP(H29+G29*$B$8,0))</f>
        <v/>
      </c>
      <c r="J29" s="9">
        <f>TRIM(IF(AND(E29=0,D29&gt;0),"Dead stock - no sales in period. ","")&amp;IF(AND(D29&lt;=0,E29&gt;0),"STOCKOUT - reorder now. ","")&amp;IF(AND(I29&gt;0,D29&gt;I29),"Overstocked vs Max. ","")&amp;IF(AND(E29&gt;0,D29&lt;H29),"Below Min - reorder. ",""))</f>
        <v/>
      </c>
    </row>
    <row r="30">
      <c r="A30" s="7" t="inlineStr">
        <is>
          <t>QT Water Buffalo Tail</t>
        </is>
      </c>
      <c r="B30" s="7" t="inlineStr">
        <is>
          <t>26460</t>
        </is>
      </c>
      <c r="C30" s="7" t="inlineStr">
        <is>
          <t>671963015136</t>
        </is>
      </c>
      <c r="D30" s="7" t="n">
        <v>11</v>
      </c>
      <c r="E30" s="7" t="n">
        <v>1</v>
      </c>
      <c r="F30" s="8" t="n">
        <v>0.08333333333333333</v>
      </c>
      <c r="G30" s="7">
        <f>ROUND(E30/$B$5,2)</f>
        <v/>
      </c>
      <c r="H30" s="7">
        <f>IF(E30=0,0,ROUNDUP(G30*($B$6+$B$7),0))</f>
        <v/>
      </c>
      <c r="I30" s="7">
        <f>IF(E30=0,0,ROUNDUP(H30+G30*$B$8,0))</f>
        <v/>
      </c>
      <c r="J30" s="9">
        <f>TRIM(IF(AND(E30=0,D30&gt;0),"Dead stock - no sales in period. ","")&amp;IF(AND(D30&lt;=0,E30&gt;0),"STOCKOUT - reorder now. ","")&amp;IF(AND(I30&gt;0,D30&gt;I30),"Overstocked vs Max. ","")&amp;IF(AND(E30&gt;0,D30&lt;H30),"Below Min - reorder. ",""))</f>
        <v/>
      </c>
    </row>
    <row r="31">
      <c r="A31" s="7" t="inlineStr">
        <is>
          <t>QT Wrought Iron Diner w/ Bowls 10" Tall</t>
        </is>
      </c>
      <c r="B31" s="7" t="inlineStr">
        <is>
          <t>26465</t>
        </is>
      </c>
      <c r="C31" s="7" t="inlineStr">
        <is>
          <t>671963013132</t>
        </is>
      </c>
      <c r="D31" s="7" t="n">
        <v>1</v>
      </c>
      <c r="E31" s="7" t="n">
        <v>0</v>
      </c>
      <c r="F31" s="8" t="n">
        <v>0</v>
      </c>
      <c r="G31" s="7">
        <f>ROUND(E31/$B$5,2)</f>
        <v/>
      </c>
      <c r="H31" s="7">
        <f>IF(E31=0,0,ROUNDUP(G31*($B$6+$B$7),0))</f>
        <v/>
      </c>
      <c r="I31" s="7">
        <f>IF(E31=0,0,ROUNDUP(H31+G31*$B$8,0))</f>
        <v/>
      </c>
      <c r="J31" s="9">
        <f>TRIM(IF(AND(E31=0,D31&gt;0),"Dead stock - no sales in period. ","")&amp;IF(AND(D31&lt;=0,E31&gt;0),"STOCKOUT - reorder now. ","")&amp;IF(AND(I31&gt;0,D31&gt;I31),"Overstocked vs Max. ","")&amp;IF(AND(E31&gt;0,D31&lt;H31),"Below Min - reorder. ",""))</f>
        <v/>
      </c>
    </row>
    <row r="32">
      <c r="A32" s="7" t="inlineStr">
        <is>
          <t>QT Wrought Iron Diner w/ Bowls 16" Tall</t>
        </is>
      </c>
      <c r="B32" s="7" t="inlineStr">
        <is>
          <t>26466</t>
        </is>
      </c>
      <c r="C32" s="7" t="inlineStr">
        <is>
          <t>671963013163</t>
        </is>
      </c>
      <c r="D32" s="7" t="n">
        <v>1</v>
      </c>
      <c r="E32" s="7" t="n">
        <v>0</v>
      </c>
      <c r="F32" s="8" t="n">
        <v>0</v>
      </c>
      <c r="G32" s="7">
        <f>ROUND(E32/$B$5,2)</f>
        <v/>
      </c>
      <c r="H32" s="7">
        <f>IF(E32=0,0,ROUNDUP(G32*($B$6+$B$7),0))</f>
        <v/>
      </c>
      <c r="I32" s="7">
        <f>IF(E32=0,0,ROUNDUP(H32+G32*$B$8,0))</f>
        <v/>
      </c>
      <c r="J32" s="9">
        <f>TRIM(IF(AND(E32=0,D32&gt;0),"Dead stock - no sales in period. ","")&amp;IF(AND(D32&lt;=0,E32&gt;0),"STOCKOUT - reorder now. ","")&amp;IF(AND(I32&gt;0,D32&gt;I32),"Overstocked vs Max. ","")&amp;IF(AND(E32&gt;0,D32&lt;H32),"Below Min - reorder. ",""))</f>
        <v/>
      </c>
    </row>
    <row r="33">
      <c r="A33" s="7" t="inlineStr">
        <is>
          <t>QT Wrought Iron Diner w/ Bowls 4" Tall</t>
        </is>
      </c>
      <c r="B33" s="7" t="inlineStr">
        <is>
          <t>26464</t>
        </is>
      </c>
      <c r="C33" s="7" t="inlineStr">
        <is>
          <t>671963013071</t>
        </is>
      </c>
      <c r="D33" s="7" t="n">
        <v>1</v>
      </c>
      <c r="E33" s="7" t="n">
        <v>0</v>
      </c>
      <c r="F33" s="8" t="n">
        <v>0</v>
      </c>
      <c r="G33" s="7">
        <f>ROUND(E33/$B$5,2)</f>
        <v/>
      </c>
      <c r="H33" s="7">
        <f>IF(E33=0,0,ROUNDUP(G33*($B$6+$B$7),0))</f>
        <v/>
      </c>
      <c r="I33" s="7">
        <f>IF(E33=0,0,ROUNDUP(H33+G33*$B$8,0))</f>
        <v/>
      </c>
      <c r="J33" s="9">
        <f>TRIM(IF(AND(E33=0,D33&gt;0),"Dead stock - no sales in period. ","")&amp;IF(AND(D33&lt;=0,E33&gt;0),"STOCKOUT - reorder now. ","")&amp;IF(AND(I33&gt;0,D33&gt;I33),"Overstocked vs Max. ","")&amp;IF(AND(E33&gt;0,D33&lt;H33),"Below Min - reorder. ",""))</f>
        <v/>
      </c>
    </row>
    <row r="34">
      <c r="A34" s="7" t="inlineStr">
        <is>
          <t>QTDOG Large Buffalo Horn</t>
        </is>
      </c>
      <c r="B34" s="7" t="inlineStr">
        <is>
          <t>10771</t>
        </is>
      </c>
      <c r="C34" s="7" t="inlineStr">
        <is>
          <t>671963014733</t>
        </is>
      </c>
      <c r="D34" s="7" t="n">
        <v>3</v>
      </c>
      <c r="E34" s="7" t="n">
        <v>6</v>
      </c>
      <c r="F34" s="8" t="n">
        <v>0.6666666666666666</v>
      </c>
      <c r="G34" s="7">
        <f>ROUND(E34/$B$5,2)</f>
        <v/>
      </c>
      <c r="H34" s="7">
        <f>IF(E34=0,0,ROUNDUP(G34*($B$6+$B$7),0))</f>
        <v/>
      </c>
      <c r="I34" s="7">
        <f>IF(E34=0,0,ROUNDUP(H34+G34*$B$8,0))</f>
        <v/>
      </c>
      <c r="J34" s="9">
        <f>TRIM(IF(AND(E34=0,D34&gt;0),"Dead stock - no sales in period. ","")&amp;IF(AND(D34&lt;=0,E34&gt;0),"STOCKOUT - reorder now. ","")&amp;IF(AND(I34&gt;0,D34&gt;I34),"Overstocked vs Max. ","")&amp;IF(AND(E34&gt;0,D34&lt;H34),"Below Min - reorder. ",""))</f>
        <v/>
      </c>
    </row>
    <row r="35">
      <c r="A35" s="7" t="inlineStr">
        <is>
          <t>QTDOG Medium Buffalo Horn</t>
        </is>
      </c>
      <c r="B35" s="7" t="inlineStr">
        <is>
          <t>10770</t>
        </is>
      </c>
      <c r="C35" s="7" t="inlineStr">
        <is>
          <t>671963014726</t>
        </is>
      </c>
      <c r="D35" s="7" t="n">
        <v>6</v>
      </c>
      <c r="E35" s="7" t="n">
        <v>1</v>
      </c>
      <c r="F35" s="8" t="n">
        <v>0.1428571428571428</v>
      </c>
      <c r="G35" s="7">
        <f>ROUND(E35/$B$5,2)</f>
        <v/>
      </c>
      <c r="H35" s="7">
        <f>IF(E35=0,0,ROUNDUP(G35*($B$6+$B$7),0))</f>
        <v/>
      </c>
      <c r="I35" s="7">
        <f>IF(E35=0,0,ROUNDUP(H35+G35*$B$8,0))</f>
        <v/>
      </c>
      <c r="J35" s="9">
        <f>TRIM(IF(AND(E35=0,D35&gt;0),"Dead stock - no sales in period. ","")&amp;IF(AND(D35&lt;=0,E35&gt;0),"STOCKOUT - reorder now. ","")&amp;IF(AND(I35&gt;0,D35&gt;I35),"Overstocked vs Max. ","")&amp;IF(AND(E35&gt;0,D35&lt;H35),"Below Min - reorder. ",""))</f>
        <v/>
      </c>
    </row>
    <row r="36">
      <c r="A36" s="7" t="inlineStr">
        <is>
          <t>QTDOG Small Buffalo Horn</t>
        </is>
      </c>
      <c r="B36" s="7" t="inlineStr">
        <is>
          <t>10775</t>
        </is>
      </c>
      <c r="C36" s="7" t="inlineStr">
        <is>
          <t>671963014719</t>
        </is>
      </c>
      <c r="D36" s="7" t="n">
        <v>8</v>
      </c>
      <c r="E36" s="7" t="n">
        <v>3</v>
      </c>
      <c r="F36" s="8" t="n">
        <v>0.2727272727272727</v>
      </c>
      <c r="G36" s="7">
        <f>ROUND(E36/$B$5,2)</f>
        <v/>
      </c>
      <c r="H36" s="7">
        <f>IF(E36=0,0,ROUNDUP(G36*($B$6+$B$7),0))</f>
        <v/>
      </c>
      <c r="I36" s="7">
        <f>IF(E36=0,0,ROUNDUP(H36+G36*$B$8,0))</f>
        <v/>
      </c>
      <c r="J36" s="9">
        <f>TRIM(IF(AND(E36=0,D36&gt;0),"Dead stock - no sales in period. ","")&amp;IF(AND(D36&lt;=0,E36&gt;0),"STOCKOUT - reorder now. ","")&amp;IF(AND(I36&gt;0,D36&gt;I36),"Overstocked vs Max. ","")&amp;IF(AND(E36&gt;0,D36&lt;H36),"Below Min - reorder. ",""))</f>
        <v/>
      </c>
    </row>
  </sheetData>
  <autoFilter ref="A10:J36"/>
  <conditionalFormatting sqref="A11:J36">
    <cfRule type="expression" priority="1" dxfId="0">
      <formula>$J11&lt;&gt;""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2026-07-22T16:28:55Z</dcterms:created>
  <dcterms:modified xsi:type="dcterms:W3CDTF">2026-07-22T16:28:55Z</dcterms:modified>
</cp:coreProperties>
</file>