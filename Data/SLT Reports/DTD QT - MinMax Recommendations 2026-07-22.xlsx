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DTD QT</t>
        </is>
      </c>
    </row>
    <row r="2">
      <c r="A2" s="2" t="inlineStr">
        <is>
          <t>Source file: DTD QT.xlsx</t>
        </is>
      </c>
    </row>
    <row r="3">
      <c r="A3" s="2" t="inlineStr">
        <is>
          <t>Generated: 2026-07-22 12:26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1</v>
      </c>
      <c r="E11" s="7" t="n">
        <v>0</v>
      </c>
      <c r="F11" s="8" t="n">
        <v>0</v>
      </c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0</v>
      </c>
      <c r="E12" s="7" t="n">
        <v>2</v>
      </c>
      <c r="F12" s="8" t="n">
        <v>1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2</v>
      </c>
      <c r="E13" s="7" t="n">
        <v>0</v>
      </c>
      <c r="F13" s="8" t="n">
        <v>0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2</v>
      </c>
      <c r="E14" s="7" t="n">
        <v>0</v>
      </c>
      <c r="F14" s="8" t="n">
        <v>0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1</v>
      </c>
      <c r="E15" s="7" t="n">
        <v>0</v>
      </c>
      <c r="F15" s="8" t="n">
        <v>0</v>
      </c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2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1</v>
      </c>
      <c r="E17" s="7" t="n">
        <v>1</v>
      </c>
      <c r="F17" s="8" t="n">
        <v>0.5</v>
      </c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16</v>
      </c>
      <c r="E18" s="7" t="n">
        <v>9</v>
      </c>
      <c r="F18" s="8" t="n">
        <v>0.36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2</v>
      </c>
      <c r="E19" s="7" t="n">
        <v>2</v>
      </c>
      <c r="F19" s="8" t="n">
        <v>0.5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4</v>
      </c>
      <c r="E20" s="7" t="n">
        <v>2</v>
      </c>
      <c r="F20" s="8" t="n">
        <v>0.3333333333333333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0</v>
      </c>
      <c r="E21" s="7" t="n">
        <v>4</v>
      </c>
      <c r="F21" s="8" t="n">
        <v>1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2</v>
      </c>
      <c r="E22" s="7" t="n">
        <v>1</v>
      </c>
      <c r="F22" s="8" t="n">
        <v>0.3333333333333333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2</v>
      </c>
      <c r="E23" s="7" t="n">
        <v>0</v>
      </c>
      <c r="F23" s="8" t="n">
        <v>0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2</v>
      </c>
      <c r="E24" s="7" t="n">
        <v>0</v>
      </c>
      <c r="F24" s="8" t="n">
        <v>0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2</v>
      </c>
      <c r="E25" s="7" t="n">
        <v>0</v>
      </c>
      <c r="F25" s="8" t="n">
        <v>0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3</v>
      </c>
      <c r="E26" s="7" t="n">
        <v>0</v>
      </c>
      <c r="F26" s="8" t="n">
        <v>0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0</v>
      </c>
      <c r="E27" s="7" t="n">
        <v>0</v>
      </c>
      <c r="F27" s="8" t="n"/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19</v>
      </c>
      <c r="E28" s="7" t="n">
        <v>9</v>
      </c>
      <c r="F28" s="8" t="n">
        <v>0.3214285714285715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23</v>
      </c>
      <c r="E29" s="7" t="n">
        <v>5</v>
      </c>
      <c r="F29" s="8" t="n">
        <v>0.1785714285714286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6</v>
      </c>
      <c r="E30" s="7" t="n">
        <v>0</v>
      </c>
      <c r="F30" s="8" t="n">
        <v>0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10" Tall</t>
        </is>
      </c>
      <c r="B31" s="7" t="inlineStr">
        <is>
          <t>26465</t>
        </is>
      </c>
      <c r="C31" s="7" t="inlineStr">
        <is>
          <t>671963013132</t>
        </is>
      </c>
      <c r="D31" s="7" t="n">
        <v>1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16" Tall</t>
        </is>
      </c>
      <c r="B32" s="7" t="inlineStr">
        <is>
          <t>26466</t>
        </is>
      </c>
      <c r="C32" s="7" t="inlineStr">
        <is>
          <t>671963013163</t>
        </is>
      </c>
      <c r="D32" s="7" t="n">
        <v>1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 Wrought Iron Diner w/ Bowls 4" Tall</t>
        </is>
      </c>
      <c r="B33" s="7" t="inlineStr">
        <is>
          <t>26464</t>
        </is>
      </c>
      <c r="C33" s="7" t="inlineStr">
        <is>
          <t>671963013071</t>
        </is>
      </c>
      <c r="D33" s="7" t="n">
        <v>1</v>
      </c>
      <c r="E33" s="7" t="n">
        <v>0</v>
      </c>
      <c r="F33" s="8" t="n">
        <v>0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Large Buffalo Horn</t>
        </is>
      </c>
      <c r="B34" s="7" t="inlineStr">
        <is>
          <t>10771</t>
        </is>
      </c>
      <c r="C34" s="7" t="inlineStr">
        <is>
          <t>671963014733</t>
        </is>
      </c>
      <c r="D34" s="7" t="n">
        <v>6</v>
      </c>
      <c r="E34" s="7" t="n">
        <v>2</v>
      </c>
      <c r="F34" s="8" t="n">
        <v>0.25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Medium Buffalo Horn</t>
        </is>
      </c>
      <c r="B35" s="7" t="inlineStr">
        <is>
          <t>10770</t>
        </is>
      </c>
      <c r="C35" s="7" t="inlineStr">
        <is>
          <t>671963014726</t>
        </is>
      </c>
      <c r="D35" s="7" t="n">
        <v>8</v>
      </c>
      <c r="E35" s="7" t="n">
        <v>2</v>
      </c>
      <c r="F35" s="8" t="n">
        <v>0.2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  <row r="36">
      <c r="A36" s="7" t="inlineStr">
        <is>
          <t>QTDOG Small Buffalo Horn</t>
        </is>
      </c>
      <c r="B36" s="7" t="inlineStr">
        <is>
          <t>10775</t>
        </is>
      </c>
      <c r="C36" s="7" t="inlineStr">
        <is>
          <t>671963014719</t>
        </is>
      </c>
      <c r="D36" s="7" t="n">
        <v>4</v>
      </c>
      <c r="E36" s="7" t="n">
        <v>3</v>
      </c>
      <c r="F36" s="8" t="n">
        <v>0.4285714285714285</v>
      </c>
      <c r="G36" s="7">
        <f>ROUND(E36/$B$5,2)</f>
        <v/>
      </c>
      <c r="H36" s="7">
        <f>IF(E36=0,0,ROUNDUP(G36*($B$6+$B$7),0))</f>
        <v/>
      </c>
      <c r="I36" s="7">
        <f>IF(E36=0,0,ROUNDUP(H36+G36*$B$8,0))</f>
        <v/>
      </c>
      <c r="J36" s="9">
        <f>TRIM(IF(AND(E36=0,D36&gt;0),"Dead stock - no sales in period. ","")&amp;IF(AND(D36&lt;=0,E36&gt;0),"STOCKOUT - reorder now. ","")&amp;IF(AND(I36&gt;0,D36&gt;I36),"Overstocked vs Max. ","")&amp;IF(AND(E36&gt;0,D36&lt;H36),"Below Min - reorder. ",""))</f>
        <v/>
      </c>
    </row>
  </sheetData>
  <autoFilter ref="A10:J36"/>
  <conditionalFormatting sqref="A11:J36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2026-07-22T16:26:28Z</dcterms:created>
  <dcterms:modified xsi:type="dcterms:W3CDTF">2026-07-22T16:26:28Z</dcterms:modified>
</cp:coreProperties>
</file>